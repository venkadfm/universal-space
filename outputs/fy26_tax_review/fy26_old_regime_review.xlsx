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21439754d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bc8f32b7284698"/>
    <x:sheet xmlns:r="http://schemas.openxmlformats.org/officeDocument/2006/relationships" name="Inputs" sheetId="2" r:id="Rd9b19fb7858542ff"/>
    <x:sheet xmlns:r="http://schemas.openxmlformats.org/officeDocument/2006/relationships" name="Tax Calc" sheetId="3" r:id="R330b1183a359408d"/>
    <x:sheet xmlns:r="http://schemas.openxmlformats.org/officeDocument/2006/relationships" name="CA Comparison" sheetId="4" r:id="R3da5f9d875d2455a"/>
    <x:sheet xmlns:r="http://schemas.openxmlformats.org/officeDocument/2006/relationships" name="Source Notes" sheetId="5" r:id="R249befd7ee004a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;[Red]-₹#,##0;₹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F9000"/>
      </x:left>
      <x:right style="thin">
        <x:color rgb="FFBF9000"/>
      </x:right>
      <x:top style="thin">
        <x:color rgb="FFBF9000"/>
      </x:top>
      <x:bottom style="thin">
        <x:color rgb="FFBF9000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0" fontId="0" fillId="3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3" borderId="2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3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fda58987294da8" /><Relationship Type="http://schemas.openxmlformats.org/officeDocument/2006/relationships/theme" Target="/xl/theme/theme1.xml" Id="R4513a9cb644c4d8f" /><Relationship Type="http://schemas.openxmlformats.org/officeDocument/2006/relationships/sharedStrings" Target="/xl/sharedStrings.xml" Id="Ra82b7723fd4a47c7" /><Relationship Type="http://schemas.openxmlformats.org/officeDocument/2006/relationships/worksheet" Target="/xl/worksheets/sheet1.xml" Id="R13bc8f32b7284698" /><Relationship Type="http://schemas.openxmlformats.org/officeDocument/2006/relationships/worksheet" Target="/xl/worksheets/sheet2.xml" Id="Rd9b19fb7858542ff" /><Relationship Type="http://schemas.openxmlformats.org/officeDocument/2006/relationships/worksheet" Target="/xl/worksheets/sheet3.xml" Id="R330b1183a359408d" /><Relationship Type="http://schemas.openxmlformats.org/officeDocument/2006/relationships/worksheet" Target="/xl/worksheets/sheet4.xml" Id="R3da5f9d875d2455a" /><Relationship Type="http://schemas.openxmlformats.org/officeDocument/2006/relationships/worksheet" Target="/xl/worksheets/sheet5.xml" Id="R249befd7ee004a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1000061035156" hidden="0" customWidth="1"/>
    <x:col min="2" max="2" width="32.33000183105469" hidden="0" customWidth="1"/>
    <x:col min="4" max="4" width="14.109999656677246" hidden="0" customWidth="1"/>
    <x:col min="5" max="5" width="42" hidden="0" customWidth="1"/>
  </x:cols>
  <x:sheetData>
    <x:row r="1" ht="28" customHeight="1">
      <x:c r="A1" s="15" t="str">
        <x:v>FY26 Old Regime SOI Review</x:v>
      </x:c>
      <x:c r="E1" s="18"/>
    </x:row>
    <x:row r="3">
      <x:c r="A3" s="17" t="str">
        <x:v>Kumar CA result</x:v>
      </x:c>
      <x:c r="B3" s="8" t="n">
        <x:f>'CA Comparison'!B24</x:f>
        <x:v>-1610</x:v>
      </x:c>
      <x:c r="D3" s="17" t="str">
        <x:v>Editable Sheet</x:v>
      </x:c>
      <x:c r="E3" s="7" t="str">
        <x:v>Inputs</x:v>
      </x:c>
    </x:row>
    <x:row r="4">
      <x:c r="A4" s="17" t="str">
        <x:v>OneFinance result</x:v>
      </x:c>
      <x:c r="B4" s="8" t="n">
        <x:f>'CA Comparison'!C24</x:f>
        <x:v>16010</x:v>
      </x:c>
      <x:c r="D4" s="17" t="str">
        <x:v>Formula Sheet</x:v>
      </x:c>
      <x:c r="E4" s="7" t="str">
        <x:v>Tax Calc</x:v>
      </x:c>
    </x:row>
    <x:row r="5">
      <x:c r="A5" s="17" t="str">
        <x:v>My calculated result</x:v>
      </x:c>
      <x:c r="B5" s="14" t="n">
        <x:f>ROUND('Tax Calc'!C25,0)</x:f>
        <x:v>6121</x:v>
      </x:c>
      <x:c r="D5" s="17" t="str">
        <x:v>Comparison Sheet</x:v>
      </x:c>
      <x:c r="E5" s="7" t="str">
        <x:v>CA Comparison</x:v>
      </x:c>
    </x:row>
    <x:row r="6">
      <x:c r="A6" s="17" t="str">
        <x:v>Best-supported SOI</x:v>
      </x:c>
      <x:c r="B6" s="7" t="str">
        <x:v>OneFinance is closer, but needs corrections</x:v>
      </x:c>
      <x:c r="D6" s="17" t="str">
        <x:v>Source Notes</x:v>
      </x:c>
      <x:c r="E6" s="7" t="str">
        <x:v>Source Notes</x:v>
      </x:c>
    </x:row>
    <x:row r="7">
      <x:c r="A7" s="17" t="str">
        <x:v>Main correction 1</x:v>
      </x:c>
      <x:c r="B7" s="7" t="str">
        <x:v>Use Rs 7.20L rent, not Rs 7.80L</x:v>
      </x:c>
      <x:c r="D7" s="17" t="str">
        <x:v>How to play</x:v>
      </x:c>
      <x:c r="E7" s="7" t="str">
        <x:v>Change yellow cells in Inputs column E.</x:v>
      </x:c>
    </x:row>
    <x:row r="8">
      <x:c r="A8" s="17" t="str">
        <x:v>Main correction 2</x:v>
      </x:c>
      <x:c r="B8" s="7" t="str">
        <x:v>Use Rs 50,000 NPS and Rs 57,217 80D</x:v>
      </x:c>
      <x:c r="D8" s="17" t="str">
        <x:v>Caution</x:v>
      </x:c>
      <x:c r="E8" s="7" t="str">
        <x:v>This is a review model, not a filed return.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90000343322754" hidden="0" customWidth="1"/>
    <x:col min="2" max="2" width="25.219999313354492" hidden="0" customWidth="1"/>
    <x:col min="3" max="3" width="8" hidden="0" customWidth="1"/>
    <x:col min="4" max="4" width="9.220000267028809" hidden="0" customWidth="1"/>
    <x:col min="5" max="5" width="11" hidden="0" customWidth="1"/>
    <x:col min="6" max="6" width="48" hidden="0" customWidth="1"/>
    <x:col min="7" max="7" width="7.329999923706055" hidden="0" customWidth="1"/>
  </x:cols>
  <x:sheetData>
    <x:row r="1">
      <x:c r="A1" s="10" t="str">
        <x:v>Section</x:v>
      </x:c>
      <x:c r="B1" s="10" t="str">
        <x:v>Line item</x:v>
      </x:c>
      <x:c r="C1" s="10" t="str">
        <x:v>Kumar CA</x:v>
      </x:c>
      <x:c r="D1" s="10" t="str">
        <x:v>OneFinance</x:v>
      </x:c>
      <x:c r="E1" s="10" t="str">
        <x:v>My calculation</x:v>
      </x:c>
      <x:c r="F1" s="10" t="str">
        <x:v>Formula / source note</x:v>
      </x:c>
      <x:c r="G1" s="10" t="str">
        <x:v>Editable?</x:v>
      </x:c>
    </x:row>
    <x:row r="2">
      <x:c r="A2" s="20" t="str">
        <x:v>Salary</x:v>
      </x:c>
      <x:c r="B2" s="21" t="str">
        <x:v>Gross salary</x:v>
      </x:c>
      <x:c r="C2" s="22" t="n">
        <x:v>5575000</x:v>
      </x:c>
      <x:c r="D2" s="22" t="n">
        <x:v>5575000</x:v>
      </x:c>
      <x:c r="E2" s="23" t="n">
        <x:v>5575000</x:v>
      </x:c>
      <x:c r="F2" s="21" t="str">
        <x:v>AIS/Form 16 salary paid/credited.</x:v>
      </x:c>
      <x:c r="G2" s="21" t="str">
        <x:v>Yes</x:v>
      </x:c>
    </x:row>
    <x:row r="3">
      <x:c r="A3" s="20" t="str">
        <x:v>Salary</x:v>
      </x:c>
      <x:c r="B3" s="21" t="str">
        <x:v>HRA received</x:v>
      </x:c>
      <x:c r="C3" s="22" t="n">
        <x:v>660000</x:v>
      </x:c>
      <x:c r="D3" s="22" t="n">
        <x:v>660000</x:v>
      </x:c>
      <x:c r="E3" s="23" t="n">
        <x:v>660000</x:v>
      </x:c>
      <x:c r="F3" s="21" t="str">
        <x:v>Form 16 salary breakup.</x:v>
      </x:c>
      <x:c r="G3" s="21" t="str">
        <x:v>Yes</x:v>
      </x:c>
    </x:row>
    <x:row r="4">
      <x:c r="A4" s="20" t="str">
        <x:v>Salary</x:v>
      </x:c>
      <x:c r="B4" s="21" t="str">
        <x:v>Annual rent paid</x:v>
      </x:c>
      <x:c r="C4" s="22" t="n">
        <x:v>780000</x:v>
      </x:c>
      <x:c r="D4" s="22" t="n">
        <x:v>720000</x:v>
      </x:c>
      <x:c r="E4" s="23" t="n">
        <x:v>720000</x:v>
      </x:c>
      <x:c r="F4" s="21" t="str">
        <x:v>All 12 rent receipts show Rs 60,000/month.</x:v>
      </x:c>
      <x:c r="G4" s="21" t="str">
        <x:v>Yes</x:v>
      </x:c>
    </x:row>
    <x:row r="5">
      <x:c r="A5" s="20" t="str">
        <x:v>Salary</x:v>
      </x:c>
      <x:c r="B5" s="21" t="str">
        <x:v>Salary for HRA calculation</x:v>
      </x:c>
      <x:c r="C5" s="22" t="n">
        <x:v>1650000</x:v>
      </x:c>
      <x:c r="D5" s="22" t="n">
        <x:v>1650000</x:v>
      </x:c>
      <x:c r="E5" s="23" t="n">
        <x:v>1650000</x:v>
      </x:c>
      <x:c r="F5" s="21" t="str">
        <x:v>Basic salary used for HRA formula.</x:v>
      </x:c>
      <x:c r="G5" s="21" t="str">
        <x:v>Yes</x:v>
      </x:c>
    </x:row>
    <x:row r="6">
      <x:c r="A6" s="20" t="str">
        <x:v>Salary</x:v>
      </x:c>
      <x:c r="B6" s="21" t="str">
        <x:v>Flexi / other section 10 exemption</x:v>
      </x:c>
      <x:c r="C6" s="22" t="n">
        <x:v>154800</x:v>
      </x:c>
      <x:c r="D6" s="22" t="n">
        <x:v>208730</x:v>
      </x:c>
      <x:c r="E6" s="23" t="n">
        <x:v>208730</x:v>
      </x:c>
      <x:c r="F6" s="21" t="str">
        <x:v>Form 16 shows Flexi Exemption Rs 208,730.</x:v>
      </x:c>
      <x:c r="G6" s="21" t="str">
        <x:v>Yes</x:v>
      </x:c>
    </x:row>
    <x:row r="7">
      <x:c r="A7" s="20" t="str">
        <x:v>Salary</x:v>
      </x:c>
      <x:c r="B7" s="21" t="str">
        <x:v>Standard deduction</x:v>
      </x:c>
      <x:c r="C7" s="22" t="n">
        <x:v>50000</x:v>
      </x:c>
      <x:c r="D7" s="22" t="n">
        <x:v>50000</x:v>
      </x:c>
      <x:c r="E7" s="23" t="n">
        <x:v>50000</x:v>
      </x:c>
      <x:c r="F7" s="21" t="str">
        <x:v>Old regime salaried standard deduction.</x:v>
      </x:c>
      <x:c r="G7" s="21" t="str">
        <x:v>Yes</x:v>
      </x:c>
    </x:row>
    <x:row r="8">
      <x:c r="A8" s="20" t="str">
        <x:v>Salary</x:v>
      </x:c>
      <x:c r="B8" s="21" t="str">
        <x:v>Professional tax</x:v>
      </x:c>
      <x:c r="C8" s="22" t="n">
        <x:v>2500</x:v>
      </x:c>
      <x:c r="D8" s="22" t="n">
        <x:v>0</x:v>
      </x:c>
      <x:c r="E8" s="23" t="n">
        <x:v>2500</x:v>
      </x:c>
      <x:c r="F8" s="21" t="str">
        <x:v>Form 16 includes professional tax Rs 2,500.</x:v>
      </x:c>
      <x:c r="G8" s="21" t="str">
        <x:v>Yes</x:v>
      </x:c>
    </x:row>
    <x:row r="9">
      <x:c r="A9" s="20" t="str">
        <x:v>House Property</x:v>
      </x:c>
      <x:c r="B9" s="21" t="str">
        <x:v>Home loan interest paid</x:v>
      </x:c>
      <x:c r="C9" s="22" t="n">
        <x:v>276118</x:v>
      </x:c>
      <x:c r="D9" s="22" t="n">
        <x:v>276119</x:v>
      </x:c>
      <x:c r="E9" s="23" t="n">
        <x:v>276119</x:v>
      </x:c>
      <x:c r="F9" s="21" t="str">
        <x:v>HSBC provisional interest certificate.</x:v>
      </x:c>
      <x:c r="G9" s="21" t="str">
        <x:v>Yes</x:v>
      </x:c>
    </x:row>
    <x:row r="10">
      <x:c r="A10" s="20" t="str">
        <x:v>Other Income</x:v>
      </x:c>
      <x:c r="B10" s="21" t="str">
        <x:v>Dividends</x:v>
      </x:c>
      <x:c r="C10" s="22" t="n">
        <x:v>12601</x:v>
      </x:c>
      <x:c r="D10" s="22" t="n">
        <x:v>14684</x:v>
      </x:c>
      <x:c r="E10" s="23" t="n">
        <x:v>14684</x:v>
      </x:c>
      <x:c r="F10" s="21" t="str">
        <x:v>OneFinance includes Indian and US dividends.</x:v>
      </x:c>
      <x:c r="G10" s="21" t="str">
        <x:v>Yes</x:v>
      </x:c>
    </x:row>
    <x:row r="11">
      <x:c r="A11" s="20" t="str">
        <x:v>Other Income</x:v>
      </x:c>
      <x:c r="B11" s="21" t="str">
        <x:v>Savings account interest</x:v>
      </x:c>
      <x:c r="C11" s="22" t="n">
        <x:v>10418</x:v>
      </x:c>
      <x:c r="D11" s="22" t="n">
        <x:v>10418</x:v>
      </x:c>
      <x:c r="E11" s="23" t="n">
        <x:v>10418</x:v>
      </x:c>
      <x:c r="F11" s="21" t="str">
        <x:v>AIS savings interest.</x:v>
      </x:c>
      <x:c r="G11" s="21" t="str">
        <x:v>Yes</x:v>
      </x:c>
    </x:row>
    <x:row r="12">
      <x:c r="A12" s="20" t="str">
        <x:v>Other Income</x:v>
      </x:c>
      <x:c r="B12" s="21" t="str">
        <x:v>Term deposit interest</x:v>
      </x:c>
      <x:c r="C12" s="22" t="n">
        <x:v>925</x:v>
      </x:c>
      <x:c r="D12" s="22" t="n">
        <x:v>925</x:v>
      </x:c>
      <x:c r="E12" s="23" t="n">
        <x:v>925</x:v>
      </x:c>
      <x:c r="F12" s="21" t="str">
        <x:v>AIS SBI term deposit interest.</x:v>
      </x:c>
      <x:c r="G12" s="21" t="str">
        <x:v>Yes</x:v>
      </x:c>
    </x:row>
    <x:row r="13">
      <x:c r="A13" s="20" t="str">
        <x:v>Other Income</x:v>
      </x:c>
      <x:c r="B13" s="21" t="str">
        <x:v>Other interest</x:v>
      </x:c>
      <x:c r="C13" s="22" t="n">
        <x:v>5590</x:v>
      </x:c>
      <x:c r="D13" s="22" t="n">
        <x:v>9382</x:v>
      </x:c>
      <x:c r="E13" s="23" t="n">
        <x:v>9382</x:v>
      </x:c>
      <x:c r="F13" s="21" t="str">
        <x:v>Includes Muthoot, Krazybee, refund interest and US interest.</x:v>
      </x:c>
      <x:c r="G13" s="21" t="str">
        <x:v>Yes</x:v>
      </x:c>
    </x:row>
    <x:row r="14">
      <x:c r="A14" s="20" t="str">
        <x:v>Capital Gains</x:v>
      </x:c>
      <x:c r="B14" s="21" t="str">
        <x:v>Taxable capital gains</x:v>
      </x:c>
      <x:c r="C14" s="22" t="n">
        <x:v>0</x:v>
      </x:c>
      <x:c r="D14" s="22" t="n">
        <x:v>0</x:v>
      </x:c>
      <x:c r="E14" s="23" t="n">
        <x:v>0</x:v>
      </x:c>
      <x:c r="F14" s="21" t="str">
        <x:v>Capital gains are offset/loss in both SOIs.</x:v>
      </x:c>
      <x:c r="G14" s="21" t="str">
        <x:v>Yes</x:v>
      </x:c>
    </x:row>
    <x:row r="15">
      <x:c r="A15" s="20" t="str">
        <x:v>Deductions</x:v>
      </x:c>
      <x:c r="B15" s="21" t="str">
        <x:v>80C gross eligible amount</x:v>
      </x:c>
      <x:c r="C15" s="22" t="n">
        <x:v>181167</x:v>
      </x:c>
      <x:c r="D15" s="22" t="n">
        <x:v>193258</x:v>
      </x:c>
      <x:c r="E15" s="23" t="n">
        <x:v>193258</x:v>
      </x:c>
      <x:c r="F15" s="21" t="str">
        <x:v>Allowed amount capped at Rs 150,000.</x:v>
      </x:c>
      <x:c r="G15" s="21" t="str">
        <x:v>Yes</x:v>
      </x:c>
    </x:row>
    <x:row r="16">
      <x:c r="A16" s="20" t="str">
        <x:v>Deductions</x:v>
      </x:c>
      <x:c r="B16" s="21" t="str">
        <x:v>80CCD(1B) NPS</x:v>
      </x:c>
      <x:c r="C16" s="22" t="n">
        <x:v>50000</x:v>
      </x:c>
      <x:c r="D16" s="22" t="n">
        <x:v>25000</x:v>
      </x:c>
      <x:c r="E16" s="23" t="n">
        <x:v>50000</x:v>
      </x:c>
      <x:c r="F16" s="21" t="str">
        <x:v>Two successful NPS Tier I receipts of Rs 25,000 each.</x:v>
      </x:c>
      <x:c r="G16" s="21" t="str">
        <x:v>Yes</x:v>
      </x:c>
    </x:row>
    <x:row r="17">
      <x:c r="A17" s="20" t="str">
        <x:v>Deductions</x:v>
      </x:c>
      <x:c r="B17" s="21" t="str">
        <x:v>80D health insurance</x:v>
      </x:c>
      <x:c r="C17" s="22" t="n">
        <x:v>75000</x:v>
      </x:c>
      <x:c r="D17" s="22" t="n">
        <x:v>57217</x:v>
      </x:c>
      <x:c r="E17" s="23" t="n">
        <x:v>57217</x:v>
      </x:c>
      <x:c r="F17" s="21" t="str">
        <x:v>HDFC ERGO Rs 21,306 + Care parents Rs 35,911.</x:v>
      </x:c>
      <x:c r="G17" s="21" t="str">
        <x:v>Yes</x:v>
      </x:c>
    </x:row>
    <x:row r="18">
      <x:c r="A18" s="20" t="str">
        <x:v>Deductions</x:v>
      </x:c>
      <x:c r="B18" s="21" t="str">
        <x:v>80G donation deductible</x:v>
      </x:c>
      <x:c r="C18" s="22" t="n">
        <x:v>0</x:v>
      </x:c>
      <x:c r="D18" s="22" t="n">
        <x:v>3500</x:v>
      </x:c>
      <x:c r="E18" s="23" t="n">
        <x:v>3500</x:v>
      </x:c>
      <x:c r="F18" s="21" t="str">
        <x:v>Two Rs 3,500 donation receipts; 50% deductible.</x:v>
      </x:c>
      <x:c r="G18" s="21" t="str">
        <x:v>Yes</x:v>
      </x:c>
    </x:row>
    <x:row r="19">
      <x:c r="A19" s="20" t="str">
        <x:v>Tax Credits</x:v>
      </x:c>
      <x:c r="B19" s="21" t="str">
        <x:v>Foreign tax relief</x:v>
      </x:c>
      <x:c r="C19" s="22" t="n">
        <x:v>0</x:v>
      </x:c>
      <x:c r="D19" s="22" t="n">
        <x:v>453</x:v>
      </x:c>
      <x:c r="E19" s="23" t="n">
        <x:v>453</x:v>
      </x:c>
      <x:c r="F19" s="21" t="str">
        <x:v>OneFinance Schedule 15/Form 67 relief.</x:v>
      </x:c>
      <x:c r="G19" s="21" t="str">
        <x:v>Yes</x:v>
      </x:c>
    </x:row>
    <x:row r="20">
      <x:c r="A20" s="20" t="str">
        <x:v>Tax Credits</x:v>
      </x:c>
      <x:c r="B20" s="21" t="str">
        <x:v>TDS/TCS</x:v>
      </x:c>
      <x:c r="C20" s="22" t="n">
        <x:v>1147346</x:v>
      </x:c>
      <x:c r="D20" s="22" t="n">
        <x:v>1147346</x:v>
      </x:c>
      <x:c r="E20" s="23" t="n">
        <x:v>1147346</x:v>
      </x:c>
      <x:c r="F20" s="21" t="str">
        <x:v>AIS/Form 16 salary TDS plus Form 16A TDS.</x:v>
      </x:c>
      <x:c r="G20" s="21" t="str">
        <x:v>Yes</x:v>
      </x:c>
    </x:row>
    <x:row r="21">
      <x:c r="A21" s="20" t="str">
        <x:v>Tax Credits</x:v>
      </x:c>
      <x:c r="B21" s="21" t="str">
        <x:v>Interest u/s 234B/234C</x:v>
      </x:c>
      <x:c r="C21" s="22" t="n">
        <x:v>0</x:v>
      </x:c>
      <x:c r="D21" s="22" t="n">
        <x:v>588</x:v>
      </x:c>
      <x:c r="E21" s="23" t="n">
        <x:v>0</x:v>
      </x:c>
      <x:c r="F21" s="21" t="str">
        <x:v>Keep editable; final portal may compute this differently.</x:v>
      </x:c>
      <x:c r="G21" s="21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70000076293945" hidden="0" customWidth="1"/>
    <x:col min="2" max="2" width="55" hidden="0" customWidth="1"/>
    <x:col min="3" max="3" width="16.329999923706055" hidden="0" customWidth="1"/>
    <x:col min="4" max="4" width="42" hidden="0" customWidth="1"/>
  </x:cols>
  <x:sheetData>
    <x:row r="1">
      <x:c r="A1" s="6" t="str">
        <x:v>Calculation</x:v>
      </x:c>
      <x:c r="B1" s="10" t="str">
        <x:v>Formula</x:v>
      </x:c>
      <x:c r="C1" s="10" t="str">
        <x:v>Amount</x:v>
      </x:c>
      <x:c r="D1" s="10" t="str">
        <x:v>Notes</x:v>
      </x:c>
    </x:row>
    <x:row r="2">
      <x:c r="A2" s="16" t="str">
        <x:v>HRA exemption</x:v>
      </x:c>
      <x:c r="B2" s="7" t="n">
        <x:f>MIN('Inputs'!E3,'Inputs'!E5*40%,'Inputs'!E4-'Inputs'!E5*10%)</x:f>
        <x:v>555000</x:v>
      </x:c>
      <x:c r="C2" s="8" t="n">
        <x:f>MIN('Inputs'!E3,'Inputs'!E5*40%,'Inputs'!E4-'Inputs'!E5*10%)</x:f>
        <x:v>555000</x:v>
      </x:c>
      <x:c r="D2" s="7" t="str">
        <x:v>Minimum of HRA received, 40% salary, rent minus 10% salary.</x:v>
      </x:c>
    </x:row>
    <x:row r="3">
      <x:c r="A3" s="16" t="str">
        <x:v>Salary after section 10 exemptions</x:v>
      </x:c>
      <x:c r="B3" s="7" t="n">
        <x:f>'Inputs'!E2-C2-'Inputs'!E6</x:f>
        <x:v>4811270</x:v>
      </x:c>
      <x:c r="C3" s="8" t="n">
        <x:f>'Inputs'!E2-C2-'Inputs'!E6</x:f>
        <x:v>4811270</x:v>
      </x:c>
      <x:c r="D3" s="7" t="str">
        <x:v>Gross salary less HRA exemption and flexi exemption.</x:v>
      </x:c>
    </x:row>
    <x:row r="4">
      <x:c r="A4" s="16" t="str">
        <x:v>Income from salary</x:v>
      </x:c>
      <x:c r="B4" s="7" t="n">
        <x:f>C3-'Inputs'!E7-'Inputs'!E8</x:f>
        <x:v>4758770</x:v>
      </x:c>
      <x:c r="C4" s="8" t="n">
        <x:f>C3-'Inputs'!E7-'Inputs'!E8</x:f>
        <x:v>4758770</x:v>
      </x:c>
      <x:c r="D4" s="7" t="str">
        <x:v>After standard deduction and professional tax.</x:v>
      </x:c>
    </x:row>
    <x:row r="5">
      <x:c r="A5" s="16" t="str">
        <x:v>House property loss allowed</x:v>
      </x:c>
      <x:c r="B5" s="7" t="n">
        <x:f>-MIN('Inputs'!E9,200000)</x:f>
        <x:v>-200000</x:v>
      </x:c>
      <x:c r="C5" s="8" t="n">
        <x:f>-MIN('Inputs'!E9,200000)</x:f>
        <x:v>-200000</x:v>
      </x:c>
      <x:c r="D5" s="7" t="str">
        <x:v>Self-occupied house property loss capped at Rs 2,00,000.</x:v>
      </x:c>
    </x:row>
    <x:row r="6">
      <x:c r="A6" s="16" t="str">
        <x:v>Income from capital gains</x:v>
      </x:c>
      <x:c r="B6" s="7" t="n">
        <x:f>'Inputs'!E14</x:f>
        <x:v>0</x:v>
      </x:c>
      <x:c r="C6" s="8" t="n">
        <x:f>'Inputs'!E14</x:f>
        <x:v>0</x:v>
      </x:c>
      <x:c r="D6" s="7" t="str">
        <x:v>Editable capital-gain taxable income.</x:v>
      </x:c>
    </x:row>
    <x:row r="7">
      <x:c r="A7" s="16" t="str">
        <x:v>Income from other sources</x:v>
      </x:c>
      <x:c r="B7" s="7" t="n">
        <x:f>'Inputs'!E10+'Inputs'!E11+'Inputs'!E12+'Inputs'!E13</x:f>
        <x:v>35409</x:v>
      </x:c>
      <x:c r="C7" s="8" t="n">
        <x:f>'Inputs'!E10+'Inputs'!E11+'Inputs'!E12+'Inputs'!E13</x:f>
        <x:v>35409</x:v>
      </x:c>
      <x:c r="D7" s="7" t="str">
        <x:v>Dividends plus all interest categories.</x:v>
      </x:c>
    </x:row>
    <x:row r="8">
      <x:c r="A8" s="16" t="str">
        <x:v>Gross total income</x:v>
      </x:c>
      <x:c r="B8" s="7" t="n">
        <x:f>SUM(C4:C7)</x:f>
        <x:v>4594179</x:v>
      </x:c>
      <x:c r="C8" s="8" t="n">
        <x:f>SUM(C4:C7)</x:f>
        <x:v>4594179</x:v>
      </x:c>
      <x:c r="D8" s="7" t="str">
        <x:v>Salary + house property + capital gains + other sources.</x:v>
      </x:c>
    </x:row>
    <x:row r="9">
      <x:c r="A9" s="16" t="str">
        <x:v>80C allowed</x:v>
      </x:c>
      <x:c r="B9" s="7" t="n">
        <x:f>MIN('Inputs'!E15,150000)</x:f>
        <x:v>150000</x:v>
      </x:c>
      <x:c r="C9" s="8" t="n">
        <x:f>MIN('Inputs'!E15,150000)</x:f>
        <x:v>150000</x:v>
      </x:c>
      <x:c r="D9" s="7" t="str">
        <x:v>Cap applied.</x:v>
      </x:c>
    </x:row>
    <x:row r="10">
      <x:c r="A10" s="16" t="str">
        <x:v>80CCD(1B) NPS</x:v>
      </x:c>
      <x:c r="B10" s="7" t="n">
        <x:f>MIN('Inputs'!E16,50000)</x:f>
        <x:v>50000</x:v>
      </x:c>
      <x:c r="C10" s="8" t="n">
        <x:f>MIN('Inputs'!E16,50000)</x:f>
        <x:v>50000</x:v>
      </x:c>
      <x:c r="D10" s="7" t="str">
        <x:v>Additional NPS cap.</x:v>
      </x:c>
    </x:row>
    <x:row r="11">
      <x:c r="A11" s="16" t="str">
        <x:v>80D health insurance</x:v>
      </x:c>
      <x:c r="B11" s="7" t="n">
        <x:f>'Inputs'!E17</x:f>
        <x:v>57217</x:v>
      </x:c>
      <x:c r="C11" s="8" t="n">
        <x:f>'Inputs'!E17</x:f>
        <x:v>57217</x:v>
      </x:c>
      <x:c r="D11" s="7" t="str">
        <x:v>Editable claim as per evidence.</x:v>
      </x:c>
    </x:row>
    <x:row r="12">
      <x:c r="A12" s="16" t="str">
        <x:v>80G donation</x:v>
      </x:c>
      <x:c r="B12" s="7" t="n">
        <x:f>'Inputs'!E18</x:f>
        <x:v>3500</x:v>
      </x:c>
      <x:c r="C12" s="8" t="n">
        <x:f>'Inputs'!E18</x:f>
        <x:v>3500</x:v>
      </x:c>
      <x:c r="D12" s="7" t="str">
        <x:v>Deductible portion only.</x:v>
      </x:c>
    </x:row>
    <x:row r="13">
      <x:c r="A13" s="16" t="str">
        <x:v>80TTA savings interest</x:v>
      </x:c>
      <x:c r="B13" s="7" t="n">
        <x:f>MIN('Inputs'!E11,10000)</x:f>
        <x:v>10000</x:v>
      </x:c>
      <x:c r="C13" s="8" t="n">
        <x:f>MIN('Inputs'!E11,10000)</x:f>
        <x:v>10000</x:v>
      </x:c>
      <x:c r="D13" s="7" t="str">
        <x:v>Savings interest deduction cap.</x:v>
      </x:c>
    </x:row>
    <x:row r="14">
      <x:c r="A14" s="16" t="str">
        <x:v>Total Chapter VI-A deduction</x:v>
      </x:c>
      <x:c r="B14" s="7" t="n">
        <x:f>SUM(C9:C13)</x:f>
        <x:v>270717</x:v>
      </x:c>
      <x:c r="C14" s="8" t="n">
        <x:f>SUM(C9:C13)</x:f>
        <x:v>270717</x:v>
      </x:c>
      <x:c r="D14" s="7" t="str">
        <x:v>80C + NPS + 80D + 80G + 80TTA.</x:v>
      </x:c>
    </x:row>
    <x:row r="15">
      <x:c r="A15" s="16" t="str">
        <x:v>Total income</x:v>
      </x:c>
      <x:c r="B15" s="7" t="n">
        <x:f>C8-C14</x:f>
        <x:v>4323462</x:v>
      </x:c>
      <x:c r="C15" s="8" t="n">
        <x:f>C8-C14</x:f>
        <x:v>4323462</x:v>
      </x:c>
      <x:c r="D15" s="7" t="str">
        <x:v>Before rounding.</x:v>
      </x:c>
    </x:row>
    <x:row r="16">
      <x:c r="A16" s="16" t="str">
        <x:v>Rounded total income</x:v>
      </x:c>
      <x:c r="B16" s="7" t="n">
        <x:f>ROUND(C15,-1)</x:f>
        <x:v>4323460</x:v>
      </x:c>
      <x:c r="C16" s="8" t="n">
        <x:f>ROUND(C15,-1)</x:f>
        <x:v>4323460</x:v>
      </x:c>
      <x:c r="D16" s="7" t="str">
        <x:v>Rounded u/s 288A.</x:v>
      </x:c>
    </x:row>
    <x:row r="17">
      <x:c r="A17" s="16" t="str">
        <x:v>Tax before cess</x:v>
      </x:c>
      <x:c r="B17" s="7" t="n">
        <x:f>IF(C16&lt;=250000,0,IF(C16&lt;=500000,(C16-250000)*5%,IF(C16&lt;=1000000,12500+(C16-500000)*20%,112500+(C16-1000000)*30%)))</x:f>
        <x:v>1109538</x:v>
      </x:c>
      <x:c r="C17" s="8" t="n">
        <x:f>IF(C16&lt;=250000,0,IF(C16&lt;=500000,(C16-250000)*5%,IF(C16&lt;=1000000,12500+(C16-500000)*20%,112500+(C16-1000000)*30%)))</x:f>
        <x:v>1109538</x:v>
      </x:c>
      <x:c r="D17" s="7" t="str">
        <x:v>Old regime slab for non-senior individual.</x:v>
      </x:c>
    </x:row>
    <x:row r="18">
      <x:c r="A18" s="16" t="str">
        <x:v>Cess</x:v>
      </x:c>
      <x:c r="B18" s="7" t="n">
        <x:f>C17*4%</x:f>
        <x:v>44381.520000000004</x:v>
      </x:c>
      <x:c r="C18" s="8" t="n">
        <x:f>C17*4%</x:f>
        <x:v>44381.520000000004</x:v>
      </x:c>
      <x:c r="D18" s="7" t="str">
        <x:v>Health and education cess.</x:v>
      </x:c>
    </x:row>
    <x:row r="19">
      <x:c r="A19" s="16" t="str">
        <x:v>Tax with cess</x:v>
      </x:c>
      <x:c r="B19" s="7" t="n">
        <x:f>C17+C18</x:f>
        <x:v>1153919.52</x:v>
      </x:c>
      <x:c r="C19" s="8" t="n">
        <x:f>C17+C18</x:f>
        <x:v>1153919.52</x:v>
      </x:c>
      <x:c r="D19" s="7" t="str"/>
    </x:row>
    <x:row r="20">
      <x:c r="A20" s="16" t="str">
        <x:v>Less foreign tax relief</x:v>
      </x:c>
      <x:c r="B20" s="7" t="n">
        <x:f>'Inputs'!E19</x:f>
        <x:v>453</x:v>
      </x:c>
      <x:c r="C20" s="8" t="n">
        <x:f>'Inputs'!E19</x:f>
        <x:v>453</x:v>
      </x:c>
      <x:c r="D20" s="7" t="str"/>
    </x:row>
    <x:row r="21">
      <x:c r="A21" s="16" t="str">
        <x:v>Net tax after relief</x:v>
      </x:c>
      <x:c r="B21" s="7" t="n">
        <x:f>C19-C20</x:f>
        <x:v>1153466.52</x:v>
      </x:c>
      <x:c r="C21" s="8" t="n">
        <x:f>C19-C20</x:f>
        <x:v>1153466.52</x:v>
      </x:c>
      <x:c r="D21" s="7" t="str"/>
    </x:row>
    <x:row r="22">
      <x:c r="A22" s="16" t="str">
        <x:v>Less TDS/TCS</x:v>
      </x:c>
      <x:c r="B22" s="7" t="n">
        <x:f>'Inputs'!E20</x:f>
        <x:v>1147346</x:v>
      </x:c>
      <x:c r="C22" s="8" t="n">
        <x:f>'Inputs'!E20</x:f>
        <x:v>1147346</x:v>
      </x:c>
      <x:c r="D22" s="7" t="str"/>
    </x:row>
    <x:row r="23">
      <x:c r="A23" s="16" t="str">
        <x:v>Balance before interest</x:v>
      </x:c>
      <x:c r="B23" s="7" t="n">
        <x:f>C21-C22</x:f>
        <x:v>6120.520000000019</x:v>
      </x:c>
      <x:c r="C23" s="8" t="n">
        <x:f>C21-C22</x:f>
        <x:v>6120.520000000019</x:v>
      </x:c>
      <x:c r="D23" s="7" t="str">
        <x:v>Positive means payable; negative means refund.</x:v>
      </x:c>
    </x:row>
    <x:row r="24">
      <x:c r="A24" s="16" t="str">
        <x:v>Interest u/s 234B/234C</x:v>
      </x:c>
      <x:c r="B24" s="11" t="n">
        <x:f>'Inputs'!E21</x:f>
        <x:v>0</x:v>
      </x:c>
      <x:c r="C24" s="12" t="n">
        <x:f>'Inputs'!E21</x:f>
        <x:v>0</x:v>
      </x:c>
      <x:c r="D24" s="11" t="str">
        <x:v>Editable.</x:v>
      </x:c>
    </x:row>
    <x:row r="25">
      <x:c r="A25" s="17" t="str">
        <x:v>Final payable / (refund)</x:v>
      </x:c>
      <x:c r="B25" s="13" t="n">
        <x:f>C23+C24</x:f>
        <x:v>6120.520000000019</x:v>
      </x:c>
      <x:c r="C25" s="14" t="n">
        <x:f>C23+C24</x:f>
        <x:v>6120.520000000019</x:v>
      </x:c>
      <x:c r="D25" s="13" t="str">
        <x:v>Positive payable, negative refund.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219999313354492" hidden="0" customWidth="1"/>
    <x:col min="2" max="2" width="9.109999656677246" hidden="0" customWidth="1"/>
    <x:col min="3" max="3" width="9.220000267028809" hidden="0" customWidth="1"/>
    <x:col min="4" max="4" width="28" hidden="0" customWidth="1"/>
    <x:col min="5" max="5" width="15.4399995803833" hidden="0" customWidth="1"/>
  </x:cols>
  <x:sheetData>
    <x:row r="1">
      <x:c r="A1" s="6" t="str">
        <x:v>Heading</x:v>
      </x:c>
      <x:c r="B1" s="6" t="str">
        <x:v>Kumar CA</x:v>
      </x:c>
      <x:c r="C1" s="6" t="str">
        <x:v>OneFinance</x:v>
      </x:c>
      <x:c r="D1" s="10" t="str">
        <x:v>Which is correct</x:v>
      </x:c>
      <x:c r="E1" s="6" t="str">
        <x:v>My calculation</x:v>
      </x:c>
    </x:row>
    <x:row r="2">
      <x:c r="A2" s="16" t="str">
        <x:v>Gross salary as per AIS/Form 16</x:v>
      </x:c>
      <x:c r="B2" s="8" t="n">
        <x:f>'Inputs'!C2</x:f>
        <x:v>5575000</x:v>
      </x:c>
      <x:c r="C2" s="8" t="n">
        <x:f>'Inputs'!D2</x:f>
        <x:v>5575000</x:v>
      </x:c>
      <x:c r="D2" s="7" t="str">
        <x:v>Both correct</x:v>
      </x:c>
      <x:c r="E2" s="8" t="n">
        <x:f>'Inputs'!E2</x:f>
        <x:v>5575000</x:v>
      </x:c>
    </x:row>
    <x:row r="3">
      <x:c r="A3" s="16" t="str">
        <x:v>HRA received</x:v>
      </x:c>
      <x:c r="B3" s="8" t="n">
        <x:f>'Inputs'!C3</x:f>
        <x:v>660000</x:v>
      </x:c>
      <x:c r="C3" s="8" t="n">
        <x:f>'Inputs'!D3</x:f>
        <x:v>660000</x:v>
      </x:c>
      <x:c r="D3" s="7" t="str">
        <x:v>Both correct</x:v>
      </x:c>
      <x:c r="E3" s="8" t="n">
        <x:f>'Inputs'!E3</x:f>
        <x:v>660000</x:v>
      </x:c>
    </x:row>
    <x:row r="4">
      <x:c r="A4" s="16" t="str">
        <x:v>Annual rent considered</x:v>
      </x:c>
      <x:c r="B4" s="8" t="n">
        <x:f>'Inputs'!C4</x:f>
        <x:v>780000</x:v>
      </x:c>
      <x:c r="C4" s="8" t="n">
        <x:f>'Inputs'!D4</x:f>
        <x:v>720000</x:v>
      </x:c>
      <x:c r="D4" s="7" t="str">
        <x:v>OneFinance correct</x:v>
      </x:c>
      <x:c r="E4" s="8" t="n">
        <x:f>'Inputs'!E4</x:f>
        <x:v>720000</x:v>
      </x:c>
    </x:row>
    <x:row r="5">
      <x:c r="A5" s="16" t="str">
        <x:v>HRA exemption</x:v>
      </x:c>
      <x:c r="B5" s="8" t="n">
        <x:f>MIN('Inputs'!C3,'Inputs'!C5*40%,'Inputs'!C4-'Inputs'!C5*10%)</x:f>
        <x:v>615000</x:v>
      </x:c>
      <x:c r="C5" s="8" t="n">
        <x:f>MIN('Inputs'!D3,'Inputs'!D5*40%,'Inputs'!D4-'Inputs'!D5*10%)</x:f>
        <x:v>555000</x:v>
      </x:c>
      <x:c r="D5" s="7" t="str">
        <x:v>OneFinance correct</x:v>
      </x:c>
      <x:c r="E5" s="8" t="n">
        <x:f>'Tax Calc'!C2</x:f>
        <x:v>555000</x:v>
      </x:c>
    </x:row>
    <x:row r="6">
      <x:c r="A6" s="16" t="str">
        <x:v>Flexi / other section 10 exemption</x:v>
      </x:c>
      <x:c r="B6" s="8" t="n">
        <x:f>'Inputs'!C6</x:f>
        <x:v>154800</x:v>
      </x:c>
      <x:c r="C6" s="8" t="n">
        <x:f>'Inputs'!D6</x:f>
        <x:v>208730</x:v>
      </x:c>
      <x:c r="D6" s="7" t="str">
        <x:v>OneFinance/Form 16 correct</x:v>
      </x:c>
      <x:c r="E6" s="8" t="n">
        <x:f>'Inputs'!E6</x:f>
        <x:v>208730</x:v>
      </x:c>
    </x:row>
    <x:row r="7">
      <x:c r="A7" s="16" t="str">
        <x:v>Standard deduction</x:v>
      </x:c>
      <x:c r="B7" s="8" t="n">
        <x:f>'Inputs'!C7</x:f>
        <x:v>50000</x:v>
      </x:c>
      <x:c r="C7" s="8" t="n">
        <x:f>'Inputs'!D7</x:f>
        <x:v>50000</x:v>
      </x:c>
      <x:c r="D7" s="7" t="str">
        <x:v>Both correct</x:v>
      </x:c>
      <x:c r="E7" s="8" t="n">
        <x:f>'Inputs'!E7</x:f>
        <x:v>50000</x:v>
      </x:c>
    </x:row>
    <x:row r="8">
      <x:c r="A8" s="16" t="str">
        <x:v>Professional tax</x:v>
      </x:c>
      <x:c r="B8" s="8" t="n">
        <x:f>'Inputs'!C8</x:f>
        <x:v>2500</x:v>
      </x:c>
      <x:c r="C8" s="8" t="n">
        <x:f>'Inputs'!D8</x:f>
        <x:v>0</x:v>
      </x:c>
      <x:c r="D8" s="7" t="str">
        <x:v>Kumar/Form 16 correct</x:v>
      </x:c>
      <x:c r="E8" s="8" t="n">
        <x:f>'Inputs'!E8</x:f>
        <x:v>2500</x:v>
      </x:c>
    </x:row>
    <x:row r="9">
      <x:c r="A9" s="16" t="str">
        <x:v>Income from salary</x:v>
      </x:c>
      <x:c r="B9" s="8" t="n">
        <x:f>'Inputs'!C2-MIN('Inputs'!C3,'Inputs'!C5*40%,'Inputs'!C4-'Inputs'!C5*10%)-'Inputs'!C6-'Inputs'!C7-'Inputs'!C8</x:f>
        <x:v>4752700</x:v>
      </x:c>
      <x:c r="C9" s="8" t="n">
        <x:f>'Inputs'!D2-MIN('Inputs'!D3,'Inputs'!D5*40%,'Inputs'!D4-'Inputs'!D5*10%)-'Inputs'!D6-'Inputs'!D7-'Inputs'!D8</x:f>
        <x:v>4761270</x:v>
      </x:c>
      <x:c r="D9" s="7" t="str">
        <x:v>Neither exact</x:v>
      </x:c>
      <x:c r="E9" s="8" t="n">
        <x:f>'Tax Calc'!C4</x:f>
        <x:v>4758770</x:v>
      </x:c>
    </x:row>
    <x:row r="10">
      <x:c r="A10" s="16" t="str">
        <x:v>House property loss allowed</x:v>
      </x:c>
      <x:c r="B10" s="8" t="n">
        <x:f>-MIN('Inputs'!C9,200000)</x:f>
        <x:v>-200000</x:v>
      </x:c>
      <x:c r="C10" s="8" t="n">
        <x:f>-MIN('Inputs'!D9,200000)</x:f>
        <x:v>-200000</x:v>
      </x:c>
      <x:c r="D10" s="7" t="str">
        <x:v>Both correct</x:v>
      </x:c>
      <x:c r="E10" s="8" t="n">
        <x:f>'Tax Calc'!C5</x:f>
        <x:v>-200000</x:v>
      </x:c>
    </x:row>
    <x:row r="11">
      <x:c r="A11" s="16" t="str">
        <x:v>Taxable capital gains</x:v>
      </x:c>
      <x:c r="B11" s="8" t="n">
        <x:f>'Inputs'!C14</x:f>
        <x:v>0</x:v>
      </x:c>
      <x:c r="C11" s="8" t="n">
        <x:f>'Inputs'!D14</x:f>
        <x:v>0</x:v>
      </x:c>
      <x:c r="D11" s="7" t="str">
        <x:v>Both correct</x:v>
      </x:c>
      <x:c r="E11" s="8" t="n">
        <x:f>'Inputs'!E14</x:f>
        <x:v>0</x:v>
      </x:c>
    </x:row>
    <x:row r="12">
      <x:c r="A12" s="16" t="str">
        <x:v>Income from other sources</x:v>
      </x:c>
      <x:c r="B12" s="8" t="n">
        <x:f>SUM('Inputs'!C10:C13)</x:f>
        <x:v>29534</x:v>
      </x:c>
      <x:c r="C12" s="8" t="n">
        <x:f>SUM('Inputs'!D10:D13)</x:f>
        <x:v>35409</x:v>
      </x:c>
      <x:c r="D12" s="7" t="str">
        <x:v>OneFinance correct</x:v>
      </x:c>
      <x:c r="E12" s="8" t="n">
        <x:f>'Tax Calc'!C7</x:f>
        <x:v>35409</x:v>
      </x:c>
    </x:row>
    <x:row r="13">
      <x:c r="A13" s="16" t="str">
        <x:v>Gross total income</x:v>
      </x:c>
      <x:c r="B13" s="8" t="n">
        <x:f>B9+B10+B11+B12</x:f>
        <x:v>4582234</x:v>
      </x:c>
      <x:c r="C13" s="8" t="n">
        <x:f>C9+C10+C11+C12</x:f>
        <x:v>4596679</x:v>
      </x:c>
      <x:c r="D13" s="7" t="str">
        <x:v>Neither exact</x:v>
      </x:c>
      <x:c r="E13" s="8" t="n">
        <x:f>'Tax Calc'!C8</x:f>
        <x:v>4594179</x:v>
      </x:c>
    </x:row>
    <x:row r="14">
      <x:c r="A14" s="16" t="str">
        <x:v>80C allowed</x:v>
      </x:c>
      <x:c r="B14" s="8" t="n">
        <x:f>MIN('Inputs'!C15,150000)</x:f>
        <x:v>150000</x:v>
      </x:c>
      <x:c r="C14" s="8" t="n">
        <x:f>MIN('Inputs'!D15,150000)</x:f>
        <x:v>150000</x:v>
      </x:c>
      <x:c r="D14" s="7" t="str">
        <x:v>Both correct due to cap</x:v>
      </x:c>
      <x:c r="E14" s="8" t="n">
        <x:f>'Tax Calc'!C9</x:f>
        <x:v>150000</x:v>
      </x:c>
    </x:row>
    <x:row r="15">
      <x:c r="A15" s="16" t="str">
        <x:v>80CCD(1B) NPS</x:v>
      </x:c>
      <x:c r="B15" s="8" t="n">
        <x:f>MIN('Inputs'!C16,50000)</x:f>
        <x:v>50000</x:v>
      </x:c>
      <x:c r="C15" s="8" t="n">
        <x:f>MIN('Inputs'!D16,50000)</x:f>
        <x:v>25000</x:v>
      </x:c>
      <x:c r="D15" s="7" t="str">
        <x:v>My evidence-based value is correct</x:v>
      </x:c>
      <x:c r="E15" s="8" t="n">
        <x:f>'Tax Calc'!C10</x:f>
        <x:v>50000</x:v>
      </x:c>
    </x:row>
    <x:row r="16">
      <x:c r="A16" s="16" t="str">
        <x:v>80D health insurance</x:v>
      </x:c>
      <x:c r="B16" s="8" t="n">
        <x:f>'Inputs'!C17</x:f>
        <x:v>75000</x:v>
      </x:c>
      <x:c r="C16" s="8" t="n">
        <x:f>'Inputs'!D17</x:f>
        <x:v>57217</x:v>
      </x:c>
      <x:c r="D16" s="7" t="str">
        <x:v>OneFinance correct</x:v>
      </x:c>
      <x:c r="E16" s="8" t="n">
        <x:f>'Tax Calc'!C11</x:f>
        <x:v>57217</x:v>
      </x:c>
    </x:row>
    <x:row r="17">
      <x:c r="A17" s="16" t="str">
        <x:v>80G donation</x:v>
      </x:c>
      <x:c r="B17" s="8" t="n">
        <x:f>'Inputs'!C18</x:f>
        <x:v>0</x:v>
      </x:c>
      <x:c r="C17" s="8" t="n">
        <x:f>'Inputs'!D18</x:f>
        <x:v>3500</x:v>
      </x:c>
      <x:c r="D17" s="7" t="str">
        <x:v>OneFinance correct</x:v>
      </x:c>
      <x:c r="E17" s="8" t="n">
        <x:f>'Tax Calc'!C12</x:f>
        <x:v>3500</x:v>
      </x:c>
    </x:row>
    <x:row r="18">
      <x:c r="A18" s="16" t="str">
        <x:v>80TTA</x:v>
      </x:c>
      <x:c r="B18" s="8" t="n">
        <x:f>MIN('Inputs'!C11,10000)</x:f>
        <x:v>10000</x:v>
      </x:c>
      <x:c r="C18" s="8" t="n">
        <x:f>MIN('Inputs'!D11,10000)</x:f>
        <x:v>10000</x:v>
      </x:c>
      <x:c r="D18" s="7" t="str">
        <x:v>Both correct</x:v>
      </x:c>
      <x:c r="E18" s="8" t="n">
        <x:f>'Tax Calc'!C13</x:f>
        <x:v>10000</x:v>
      </x:c>
    </x:row>
    <x:row r="19">
      <x:c r="A19" s="16" t="str">
        <x:v>Total Chapter VI-A deduction</x:v>
      </x:c>
      <x:c r="B19" s="8" t="n">
        <x:f>SUM(B14:B18)</x:f>
        <x:v>285000</x:v>
      </x:c>
      <x:c r="C19" s="8" t="n">
        <x:f>SUM(C14:C18)</x:f>
        <x:v>245717</x:v>
      </x:c>
      <x:c r="D19" s="7" t="str">
        <x:v>Neither exact</x:v>
      </x:c>
      <x:c r="E19" s="8" t="n">
        <x:f>'Tax Calc'!C14</x:f>
        <x:v>270717</x:v>
      </x:c>
    </x:row>
    <x:row r="20">
      <x:c r="A20" s="16" t="str">
        <x:v>Rounded total income</x:v>
      </x:c>
      <x:c r="B20" s="8" t="n">
        <x:f>ROUND(B13-B19,-1)</x:f>
        <x:v>4297230</x:v>
      </x:c>
      <x:c r="C20" s="8" t="n">
        <x:f>ROUND(C13-C19,-1)</x:f>
        <x:v>4350960</x:v>
      </x:c>
      <x:c r="D20" s="7" t="str">
        <x:v>Neither exact</x:v>
      </x:c>
      <x:c r="E20" s="8" t="n">
        <x:f>'Tax Calc'!C16</x:f>
        <x:v>4323460</x:v>
      </x:c>
    </x:row>
    <x:row r="21">
      <x:c r="A21" s="16" t="str">
        <x:v>Tax with cess</x:v>
      </x:c>
      <x:c r="B21" s="8" t="n">
        <x:f>IF(B20&lt;=250000,0,IF(B20&lt;=500000,(B20-250000)*5%,IF(B20&lt;=1000000,12500+(B20-500000)*20%,112500+(B20-1000000)*30%)))*104%</x:f>
        <x:v>1145735.76</x:v>
      </x:c>
      <x:c r="C21" s="8" t="n">
        <x:f>IF(C20&lt;=250000,0,IF(C20&lt;=500000,(C20-250000)*5%,IF(C20&lt;=1000000,12500+(C20-500000)*20%,112500+(C20-1000000)*30%)))*104%</x:f>
        <x:v>1162499.52</x:v>
      </x:c>
      <x:c r="D21" s="7" t="str">
        <x:v>Neither exact</x:v>
      </x:c>
      <x:c r="E21" s="8" t="n">
        <x:f>'Tax Calc'!C19</x:f>
        <x:v>1153919.52</x:v>
      </x:c>
    </x:row>
    <x:row r="22">
      <x:c r="A22" s="16" t="str">
        <x:v>Foreign tax relief</x:v>
      </x:c>
      <x:c r="B22" s="8" t="n">
        <x:f>'Inputs'!C19</x:f>
        <x:v>0</x:v>
      </x:c>
      <x:c r="C22" s="8" t="n">
        <x:f>'Inputs'!D19</x:f>
        <x:v>453</x:v>
      </x:c>
      <x:c r="D22" s="7" t="str">
        <x:v>OneFinance correct</x:v>
      </x:c>
      <x:c r="E22" s="8" t="n">
        <x:f>'Tax Calc'!C20</x:f>
        <x:v>453</x:v>
      </x:c>
    </x:row>
    <x:row r="23">
      <x:c r="A23" s="16" t="str">
        <x:v>TDS/TCS</x:v>
      </x:c>
      <x:c r="B23" s="8" t="n">
        <x:f>'Inputs'!C20</x:f>
        <x:v>1147346</x:v>
      </x:c>
      <x:c r="C23" s="8" t="n">
        <x:f>'Inputs'!D20</x:f>
        <x:v>1147346</x:v>
      </x:c>
      <x:c r="D23" s="7" t="str">
        <x:v>Both correct</x:v>
      </x:c>
      <x:c r="E23" s="8" t="n">
        <x:f>'Tax Calc'!C22</x:f>
        <x:v>1147346</x:v>
      </x:c>
    </x:row>
    <x:row r="24">
      <x:c r="A24" s="16" t="str">
        <x:v>Final payable / (refund)</x:v>
      </x:c>
      <x:c r="B24" s="8" t="n">
        <x:f>-1610</x:f>
        <x:v>-1610</x:v>
      </x:c>
      <x:c r="C24" s="8" t="n">
        <x:f>16010</x:f>
        <x:v>16010</x:v>
      </x:c>
      <x:c r="D24" s="7" t="str">
        <x:v>Neither exact</x:v>
      </x:c>
      <x:c r="E24" s="8" t="n">
        <x:f>'Tax Calc'!C25</x:f>
        <x:v>6120.520000000019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600004196167" hidden="0" customWidth="1"/>
    <x:col min="2" max="2" width="33" hidden="0" customWidth="1"/>
    <x:col min="3" max="3" width="37.439998626708984" hidden="0" customWidth="1"/>
    <x:col min="4" max="4" width="54" hidden="0" customWidth="1"/>
  </x:cols>
  <x:sheetData>
    <x:row r="1">
      <x:c r="A1" s="6" t="str">
        <x:v>Area</x:v>
      </x:c>
      <x:c r="B1" s="6" t="str">
        <x:v>Document reviewed</x:v>
      </x:c>
      <x:c r="C1" s="6" t="str">
        <x:v>Supported number</x:v>
      </x:c>
      <x:c r="D1" s="10" t="str">
        <x:v>Notes</x:v>
      </x:c>
    </x:row>
    <x:row r="2">
      <x:c r="A2" s="16" t="str">
        <x:v>Salary/TDS</x:v>
      </x:c>
      <x:c r="B2" s="7" t="str">
        <x:v>Form16_AX042.pdf; AIS PDF</x:v>
      </x:c>
      <x:c r="C2" s="7" t="str">
        <x:v>Gross salary Rs 55,75,000; TDS/TCS Rs 11,47,346</x:v>
      </x:c>
      <x:c r="D2" s="7" t="str">
        <x:v>Form 16 also shows professional tax Rs 2,500.</x:v>
      </x:c>
    </x:row>
    <x:row r="3">
      <x:c r="A3" s="16" t="str">
        <x:v>Rent/HRA</x:v>
      </x:c>
      <x:c r="B3" s="7" t="str">
        <x:v>Rental Receipt.pdf</x:v>
      </x:c>
      <x:c r="C3" s="7" t="str">
        <x:v>Rs 60,000 per month; annual rent Rs 7,20,000</x:v>
      </x:c>
      <x:c r="D3" s="7" t="str">
        <x:v>This supports HRA exemption Rs 5,55,000.</x:v>
      </x:c>
    </x:row>
    <x:row r="4">
      <x:c r="A4" s="16" t="str">
        <x:v>Home loan</x:v>
      </x:c>
      <x:c r="B4" s="7" t="str">
        <x:v>HSBC provisional interest certificate</x:v>
      </x:c>
      <x:c r="C4" s="7" t="str">
        <x:v>Interest Rs 2,76,118.70; principal Rs 1,13,581.30</x:v>
      </x:c>
      <x:c r="D4" s="7" t="str">
        <x:v>House-property loss capped at Rs 2,00,000.</x:v>
      </x:c>
    </x:row>
    <x:row r="5">
      <x:c r="A5" s="16" t="str">
        <x:v>NPS</x:v>
      </x:c>
      <x:c r="B5" s="7" t="str">
        <x:v>NPS (1).pdf; NPS receipt 2.pdf</x:v>
      </x:c>
      <x:c r="C5" s="7" t="str">
        <x:v>Rs 25,000 + Rs 25,000</x:v>
      </x:c>
      <x:c r="D5" s="7" t="str">
        <x:v>Supports full Rs 50,000 under 80CCD(1B).</x:v>
      </x:c>
    </x:row>
    <x:row r="6">
      <x:c r="A6" s="16" t="str">
        <x:v>80D</x:v>
      </x:c>
      <x:c r="B6" s="7" t="str">
        <x:v>HDFC ergo2.pdf; Care parents insurance.pdf</x:v>
      </x:c>
      <x:c r="C6" s="7" t="str">
        <x:v>Rs 21,306 + Rs 35,911 = Rs 57,217</x:v>
      </x:c>
      <x:c r="D6" s="7" t="str">
        <x:v>No separate parent medical bills found in ZIP to support Rs 75,000.</x:v>
      </x:c>
    </x:row>
    <x:row r="7">
      <x:c r="A7" s="16" t="str">
        <x:v>80G</x:v>
      </x:c>
      <x:c r="B7" s="7" t="str">
        <x:v>Two donation photos</x:v>
      </x:c>
      <x:c r="C7" s="7" t="str">
        <x:v>Rs 7,000 gross; Rs 3,500 deductible</x:v>
      </x:c>
      <x:c r="D7" s="7" t="str">
        <x:v>Thenammal Old Age Home receipts.</x:v>
      </x:c>
    </x:row>
    <x:row r="8">
      <x:c r="A8" s="16" t="str">
        <x:v>Other income</x:v>
      </x:c>
      <x:c r="B8" s="7" t="str">
        <x:v>AIS; OneFinance SOI; US stock reports</x:v>
      </x:c>
      <x:c r="C8" s="7" t="str">
        <x:v>Dividends Rs 14,684; interest Rs 20,725</x:v>
      </x:c>
      <x:c r="D8" s="7" t="str">
        <x:v>Includes refund interest and US income.</x:v>
      </x:c>
    </x:row>
    <x:row r="9">
      <x:c r="A9" s="16" t="str">
        <x:v>Foreign tax relief</x:v>
      </x:c>
      <x:c r="B9" s="7" t="str">
        <x:v>OneFinance Schedule 15 / US docs</x:v>
      </x:c>
      <x:c r="C9" s="7" t="str">
        <x:v>Rs 453</x:v>
      </x:c>
      <x:c r="D9" s="7" t="str">
        <x:v>Kumar CA did not claim this.</x:v>
      </x:c>
    </x:row>
  </x:sheetData>
  <x:pageMargins left="0.7" right="0.7" top="0.75" bottom="0.75" header="0.3" footer="0.3"/>
</x:worksheet>
</file>